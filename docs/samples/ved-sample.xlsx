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водка" sheetId="1" r:id="rId1"/>
    <sheet name="Детали" sheetId="2" r:id="rId2"/>
  </sheets>
  <definedNames>
    <definedName name="_xlnm.Print_Titles" localSheetId="0">'Сводка'!$4:$4</definedName>
    <definedName name="_xlnm.Print_Titles" localSheetId="1">'Детали'!$4:$4</definedName>
    <definedName name="_xlnm._FilterDatabase" localSheetId="1" hidden="1">'Детали'!$A$4:$N$40</definedName>
  </definedNames>
</workbook>
</file>

<file path=xl/styles.xml><?xml version="1.0" encoding="utf-8"?>
<styleSheet xmlns="http://schemas.openxmlformats.org/spreadsheetml/2006/main">
  <numFmts count="4">
    <numFmt numFmtId="164" formatCode="0.000"/>
    <numFmt numFmtId="165" formatCode="0.00"/>
    <numFmt numFmtId="166" formatCode="0.0#"/>
    <numFmt numFmtId="167" formatCode="0.0000"/>
  </numFmts>
  <fonts count="5"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9"/>
      <color rgb="FF6A737D"/>
      <name val="Arial"/>
      <family val="2"/>
    </font>
    <font>
      <sz val="9"/>
      <color rgb="FFB26A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9EDF1"/>
        <bgColor indexed="64"/>
      </patternFill>
    </fill>
    <fill>
      <patternFill patternType="solid">
        <fgColor rgb="FFF5F7F9"/>
        <bgColor indexed="64"/>
      </patternFill>
    </fill>
  </fills>
  <borders count="2">
    <border>
      <left/>
      <right/>
      <top/>
      <bottom/>
      <diagonal/>
    </border>
    <border>
      <left style="thin">
        <color rgb="FFC8CDD3"/>
      </left>
      <right style="thin">
        <color rgb="FFC8CDD3"/>
      </right>
      <top style="thin">
        <color rgb="FFC8CDD3"/>
      </top>
      <bottom style="thin">
        <color rgb="FFC8CDD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65" fontId="0" fillId="0" borderId="1" xfId="0" applyNumberFormat="1" applyBorder="1" applyAlignment="1">
      <alignment vertical="center"/>
    </xf>
    <xf numFmtId="166" fontId="0" fillId="0" borderId="1" xfId="0" applyNumberFormat="1" applyBorder="1" applyAlignment="1">
      <alignment vertical="center"/>
    </xf>
    <xf numFmtId="0" fontId="1" fillId="2" borderId="1" xfId="0" applyFont="1" applyFill="1" applyBorder="1"/>
    <xf numFmtId="3" fontId="1" fillId="2" borderId="1" xfId="0" applyNumberFormat="1" applyFont="1" applyFill="1" applyBorder="1"/>
    <xf numFmtId="164" fontId="1" fillId="2" borderId="1" xfId="0" applyNumberFormat="1" applyFont="1" applyFill="1" applyBorder="1"/>
    <xf numFmtId="165" fontId="1" fillId="2" borderId="1" xfId="0" applyNumberFormat="1" applyFont="1" applyFill="1" applyBorder="1"/>
    <xf numFmtId="0" fontId="1" fillId="3" borderId="1" xfId="0" applyFont="1" applyFill="1" applyBorder="1"/>
    <xf numFmtId="0" fontId="4" fillId="0" borderId="0" xfId="0" applyFont="1"/>
    <xf numFmtId="0" fontId="0" fillId="0" borderId="1" xfId="0" applyBorder="1" applyAlignment="1">
      <alignment vertical="center" wrapText="1"/>
    </xf>
    <xf numFmtId="167" fontId="0" fillId="0" borderId="1" xfId="0" applyNumberFormat="1" applyBorder="1" applyAlignment="1">
      <alignment vertical="center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4</xdr:row>
      <xdr:rowOff>38100</xdr:rowOff>
    </xdr:from>
    <xdr:ext cx="1143000" cy="495300"/>
    <xdr:pic>
      <xdr:nvPicPr>
        <xdr:cNvPr id="2" name="Развертка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143000" cy="49530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6</xdr:row>
      <xdr:rowOff>38100</xdr:rowOff>
    </xdr:from>
    <xdr:ext cx="1143000" cy="495300"/>
    <xdr:pic>
      <xdr:nvPicPr>
        <xdr:cNvPr id="3" name="Развертка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1143000" cy="49530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7</xdr:row>
      <xdr:rowOff>38100</xdr:rowOff>
    </xdr:from>
    <xdr:ext cx="1143000" cy="495300"/>
    <xdr:pic>
      <xdr:nvPicPr>
        <xdr:cNvPr id="4" name="Развертка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1143000" cy="49530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8</xdr:row>
      <xdr:rowOff>38100</xdr:rowOff>
    </xdr:from>
    <xdr:ext cx="1143000" cy="495300"/>
    <xdr:pic>
      <xdr:nvPicPr>
        <xdr:cNvPr id="5" name="Развертка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0"/>
          <a:ext cx="1143000" cy="49530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9</xdr:row>
      <xdr:rowOff>38100</xdr:rowOff>
    </xdr:from>
    <xdr:ext cx="1143000" cy="495300"/>
    <xdr:pic>
      <xdr:nvPicPr>
        <xdr:cNvPr id="6" name="Развертка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0"/>
          <a:ext cx="1143000" cy="49530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10</xdr:row>
      <xdr:rowOff>38100</xdr:rowOff>
    </xdr:from>
    <xdr:ext cx="1143000" cy="495300"/>
    <xdr:pic>
      <xdr:nvPicPr>
        <xdr:cNvPr id="7" name="Развертка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0"/>
          <a:ext cx="1143000" cy="49530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11</xdr:row>
      <xdr:rowOff>38100</xdr:rowOff>
    </xdr:from>
    <xdr:ext cx="1143000" cy="495300"/>
    <xdr:pic>
      <xdr:nvPicPr>
        <xdr:cNvPr id="8" name="Развертка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0" y="0"/>
          <a:ext cx="1143000" cy="49530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12</xdr:row>
      <xdr:rowOff>38100</xdr:rowOff>
    </xdr:from>
    <xdr:ext cx="1143000" cy="495300"/>
    <xdr:pic>
      <xdr:nvPicPr>
        <xdr:cNvPr id="9" name="Развертка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0" y="0"/>
          <a:ext cx="1143000" cy="49530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13</xdr:row>
      <xdr:rowOff>38100</xdr:rowOff>
    </xdr:from>
    <xdr:ext cx="1143000" cy="495300"/>
    <xdr:pic>
      <xdr:nvPicPr>
        <xdr:cNvPr id="10" name="Развертка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0" y="0"/>
          <a:ext cx="1143000" cy="49530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14</xdr:row>
      <xdr:rowOff>38100</xdr:rowOff>
    </xdr:from>
    <xdr:ext cx="1143000" cy="495300"/>
    <xdr:pic>
      <xdr:nvPicPr>
        <xdr:cNvPr id="11" name="Развертка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0" y="0"/>
          <a:ext cx="1143000" cy="49530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15</xdr:row>
      <xdr:rowOff>38100</xdr:rowOff>
    </xdr:from>
    <xdr:ext cx="1143000" cy="495300"/>
    <xdr:pic>
      <xdr:nvPicPr>
        <xdr:cNvPr id="12" name="Развертка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0" y="0"/>
          <a:ext cx="1143000" cy="49530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16</xdr:row>
      <xdr:rowOff>38100</xdr:rowOff>
    </xdr:from>
    <xdr:ext cx="1143000" cy="495300"/>
    <xdr:pic>
      <xdr:nvPicPr>
        <xdr:cNvPr id="13" name="Развертка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0" y="0"/>
          <a:ext cx="1143000" cy="49530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17</xdr:row>
      <xdr:rowOff>38100</xdr:rowOff>
    </xdr:from>
    <xdr:ext cx="1143000" cy="495300"/>
    <xdr:pic>
      <xdr:nvPicPr>
        <xdr:cNvPr id="14" name="Развертка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0" y="0"/>
          <a:ext cx="1143000" cy="49530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18</xdr:row>
      <xdr:rowOff>38100</xdr:rowOff>
    </xdr:from>
    <xdr:ext cx="1143000" cy="495300"/>
    <xdr:pic>
      <xdr:nvPicPr>
        <xdr:cNvPr id="15" name="Развертка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0" y="0"/>
          <a:ext cx="1143000" cy="49530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19</xdr:row>
      <xdr:rowOff>38100</xdr:rowOff>
    </xdr:from>
    <xdr:ext cx="1143000" cy="495300"/>
    <xdr:pic>
      <xdr:nvPicPr>
        <xdr:cNvPr id="16" name="Развертка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0" y="0"/>
          <a:ext cx="1143000" cy="49530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20</xdr:row>
      <xdr:rowOff>38100</xdr:rowOff>
    </xdr:from>
    <xdr:ext cx="1143000" cy="495300"/>
    <xdr:pic>
      <xdr:nvPicPr>
        <xdr:cNvPr id="17" name="Развертка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0" y="0"/>
          <a:ext cx="1143000" cy="49530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21</xdr:row>
      <xdr:rowOff>38100</xdr:rowOff>
    </xdr:from>
    <xdr:ext cx="1143000" cy="495300"/>
    <xdr:pic>
      <xdr:nvPicPr>
        <xdr:cNvPr id="18" name="Развертка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0" y="0"/>
          <a:ext cx="1143000" cy="49530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22</xdr:row>
      <xdr:rowOff>38100</xdr:rowOff>
    </xdr:from>
    <xdr:ext cx="1143000" cy="495300"/>
    <xdr:pic>
      <xdr:nvPicPr>
        <xdr:cNvPr id="19" name="Развертка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0" y="0"/>
          <a:ext cx="1143000" cy="49530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23</xdr:row>
      <xdr:rowOff>38100</xdr:rowOff>
    </xdr:from>
    <xdr:ext cx="1143000" cy="495300"/>
    <xdr:pic>
      <xdr:nvPicPr>
        <xdr:cNvPr id="20" name="Развертка 1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0" y="0"/>
          <a:ext cx="1143000" cy="49530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24</xdr:row>
      <xdr:rowOff>38100</xdr:rowOff>
    </xdr:from>
    <xdr:ext cx="1143000" cy="495300"/>
    <xdr:pic>
      <xdr:nvPicPr>
        <xdr:cNvPr id="21" name="Развертка 2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0" y="0"/>
          <a:ext cx="1143000" cy="49530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25</xdr:row>
      <xdr:rowOff>38100</xdr:rowOff>
    </xdr:from>
    <xdr:ext cx="1143000" cy="495300"/>
    <xdr:pic>
      <xdr:nvPicPr>
        <xdr:cNvPr id="22" name="Развертка 21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0" y="0"/>
          <a:ext cx="1143000" cy="49530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26</xdr:row>
      <xdr:rowOff>38100</xdr:rowOff>
    </xdr:from>
    <xdr:ext cx="1143000" cy="495300"/>
    <xdr:pic>
      <xdr:nvPicPr>
        <xdr:cNvPr id="23" name="Развертка 2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0" y="0"/>
          <a:ext cx="1143000" cy="49530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27</xdr:row>
      <xdr:rowOff>38100</xdr:rowOff>
    </xdr:from>
    <xdr:ext cx="1143000" cy="495300"/>
    <xdr:pic>
      <xdr:nvPicPr>
        <xdr:cNvPr id="24" name="Развертка 23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0" y="0"/>
          <a:ext cx="1143000" cy="49530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28</xdr:row>
      <xdr:rowOff>38100</xdr:rowOff>
    </xdr:from>
    <xdr:ext cx="1143000" cy="495300"/>
    <xdr:pic>
      <xdr:nvPicPr>
        <xdr:cNvPr id="25" name="Развертка 24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0" y="0"/>
          <a:ext cx="1143000" cy="49530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29</xdr:row>
      <xdr:rowOff>38100</xdr:rowOff>
    </xdr:from>
    <xdr:ext cx="1143000" cy="495300"/>
    <xdr:pic>
      <xdr:nvPicPr>
        <xdr:cNvPr id="26" name="Развертка 25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0" y="0"/>
          <a:ext cx="1143000" cy="49530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30</xdr:row>
      <xdr:rowOff>38100</xdr:rowOff>
    </xdr:from>
    <xdr:ext cx="1143000" cy="495300"/>
    <xdr:pic>
      <xdr:nvPicPr>
        <xdr:cNvPr id="27" name="Развертка 26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0" y="0"/>
          <a:ext cx="1143000" cy="49530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31</xdr:row>
      <xdr:rowOff>38100</xdr:rowOff>
    </xdr:from>
    <xdr:ext cx="1143000" cy="495300"/>
    <xdr:pic>
      <xdr:nvPicPr>
        <xdr:cNvPr id="28" name="Развертка 27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0" y="0"/>
          <a:ext cx="1143000" cy="49530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32</xdr:row>
      <xdr:rowOff>38100</xdr:rowOff>
    </xdr:from>
    <xdr:ext cx="1143000" cy="495300"/>
    <xdr:pic>
      <xdr:nvPicPr>
        <xdr:cNvPr id="29" name="Развертка 28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0" y="0"/>
          <a:ext cx="1143000" cy="49530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33</xdr:row>
      <xdr:rowOff>38100</xdr:rowOff>
    </xdr:from>
    <xdr:ext cx="1143000" cy="495300"/>
    <xdr:pic>
      <xdr:nvPicPr>
        <xdr:cNvPr id="30" name="Развертка 29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0" y="0"/>
          <a:ext cx="1143000" cy="49530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34</xdr:row>
      <xdr:rowOff>38100</xdr:rowOff>
    </xdr:from>
    <xdr:ext cx="1143000" cy="495300"/>
    <xdr:pic>
      <xdr:nvPicPr>
        <xdr:cNvPr id="31" name="Развертка 30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0" y="0"/>
          <a:ext cx="1143000" cy="49530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35</xdr:row>
      <xdr:rowOff>38100</xdr:rowOff>
    </xdr:from>
    <xdr:ext cx="1143000" cy="495300"/>
    <xdr:pic>
      <xdr:nvPicPr>
        <xdr:cNvPr id="32" name="Развертка 31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0" y="0"/>
          <a:ext cx="1143000" cy="49530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36</xdr:row>
      <xdr:rowOff>38100</xdr:rowOff>
    </xdr:from>
    <xdr:ext cx="1143000" cy="495300"/>
    <xdr:pic>
      <xdr:nvPicPr>
        <xdr:cNvPr id="33" name="Развертка 32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0" y="0"/>
          <a:ext cx="1143000" cy="49530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37</xdr:row>
      <xdr:rowOff>38100</xdr:rowOff>
    </xdr:from>
    <xdr:ext cx="1143000" cy="495300"/>
    <xdr:pic>
      <xdr:nvPicPr>
        <xdr:cNvPr id="34" name="Развертка 33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0" y="0"/>
          <a:ext cx="1143000" cy="49530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38</xdr:row>
      <xdr:rowOff>38100</xdr:rowOff>
    </xdr:from>
    <xdr:ext cx="1143000" cy="495300"/>
    <xdr:pic>
      <xdr:nvPicPr>
        <xdr:cNvPr id="35" name="Развертка 34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0" y="0"/>
          <a:ext cx="1143000" cy="495300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39</xdr:row>
      <xdr:rowOff>38100</xdr:rowOff>
    </xdr:from>
    <xdr:ext cx="1143000" cy="495300"/>
    <xdr:pic>
      <xdr:nvPicPr>
        <xdr:cNvPr id="36" name="Развертка 35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0" y="0"/>
          <a:ext cx="1143000" cy="495300"/>
        </a:xfrm>
        <a:prstGeom prst="rect">
          <a:avLst/>
        </a:prstGeom>
      </xdr:spPr>
    </xdr:pic>
    <xdr:clientData/>
  </xdr:one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tabSelected="1">
      <pane ySplit="4" topLeftCell="A5" activePane="bottomLeft" state="frozen"/>
    </sheetView>
  </sheetViews>
  <sheetFormatPr defaultRowHeight="15"/>
  <cols>
    <col min="1" max="1" width="34" customWidth="1"/>
    <col min="2" max="2" width="12" customWidth="1"/>
    <col min="3" max="3" width="10" customWidth="1"/>
    <col min="4" max="4" width="12" customWidth="1"/>
    <col min="5" max="5" width="13" customWidth="1"/>
    <col min="6" max="6" width="13" customWidth="1"/>
    <col min="7" max="7" width="14" customWidth="1"/>
    <col min="8" max="8" width="12" customWidth="1"/>
  </cols>
  <sheetData>
    <row r="1" ht="24" customHeight="1">
      <c r="A1" s="1" t="inlineStr">
        <is>
          <t xml:space="preserve">Ведомость листовых деталей</t>
        </is>
      </c>
    </row>
    <row r="2">
      <c r="A2" s="2" t="inlineStr">
        <is>
          <t xml:space="preserve">Изделие: Стойка опорная АБВГ.301318.001 · изделий: 2 · дата: 26.10.2026</t>
        </is>
      </c>
    </row>
    <row r="4" ht="30" customHeight="1">
      <c r="A4" s="3" t="inlineStr">
        <is>
          <t xml:space="preserve">Материал</t>
        </is>
      </c>
      <c r="B4" s="3" t="inlineStr">
        <is>
          <t xml:space="preserve">Толщина, мм</t>
        </is>
      </c>
      <c r="C4" s="3" t="inlineStr">
        <is>
          <t xml:space="preserve">Позиций</t>
        </is>
      </c>
      <c r="D4" s="3" t="inlineStr">
        <is>
          <t xml:space="preserve">Деталей, шт</t>
        </is>
      </c>
      <c r="E4" s="3" t="inlineStr">
        <is>
          <t xml:space="preserve">Площадь, м²</t>
        </is>
      </c>
      <c r="F4" s="3" t="inlineStr">
        <is>
          <t xml:space="preserve">Масса, кг</t>
        </is>
      </c>
      <c r="G4" s="3" t="inlineStr">
        <is>
          <t xml:space="preserve">Длина реза, м</t>
        </is>
      </c>
      <c r="H4" s="3" t="inlineStr">
        <is>
          <t xml:space="preserve">Врезки, шт</t>
        </is>
      </c>
    </row>
    <row r="5">
      <c r="A5" s="4" t="inlineStr">
        <is>
          <t xml:space="preserve">АМг3</t>
        </is>
      </c>
      <c r="B5" s="8">
        <v>1.5</v>
      </c>
      <c r="C5" s="5">
        <v>1</v>
      </c>
      <c r="D5" s="5">
        <v>6</v>
      </c>
      <c r="E5" s="6">
        <v>0.03651743595665058</v>
      </c>
      <c r="F5" s="7">
        <v>0.4299928083895606</v>
      </c>
      <c r="G5" s="7">
        <v>2.2968715068365033</v>
      </c>
      <c r="H5" s="5">
        <v>12</v>
      </c>
    </row>
    <row r="6">
      <c r="A6" s="4" t="inlineStr">
        <is>
          <t xml:space="preserve">Сталь</t>
        </is>
      </c>
      <c r="B6" s="8">
        <v>1</v>
      </c>
      <c r="C6" s="5">
        <v>1</v>
      </c>
      <c r="D6" s="5">
        <v>2</v>
      </c>
      <c r="E6" s="17" t="inlineStr">
        <is>
          <t xml:space="preserve">—</t>
        </is>
      </c>
      <c r="F6" s="17" t="inlineStr">
        <is>
          <t xml:space="preserve">—</t>
        </is>
      </c>
      <c r="G6" s="17" t="inlineStr">
        <is>
          <t xml:space="preserve">—</t>
        </is>
      </c>
      <c r="H6" s="17" t="inlineStr">
        <is>
          <t xml:space="preserve">—</t>
        </is>
      </c>
    </row>
    <row r="7">
      <c r="A7" s="4" t="inlineStr">
        <is>
          <t xml:space="preserve">Сталь</t>
        </is>
      </c>
      <c r="B7" s="8">
        <v>2</v>
      </c>
      <c r="C7" s="5">
        <v>16</v>
      </c>
      <c r="D7" s="5">
        <v>53</v>
      </c>
      <c r="E7" s="6">
        <v>1.0482393566097092</v>
      </c>
      <c r="F7" s="7">
        <v>16.457357898772436</v>
      </c>
      <c r="G7" s="7">
        <v>34.53136869849241</v>
      </c>
      <c r="H7" s="5">
        <v>106</v>
      </c>
    </row>
    <row r="8">
      <c r="A8" s="4" t="inlineStr">
        <is>
          <t xml:space="preserve">Сталь</t>
        </is>
      </c>
      <c r="B8" s="8">
        <v>3</v>
      </c>
      <c r="C8" s="5">
        <v>17</v>
      </c>
      <c r="D8" s="5">
        <v>51</v>
      </c>
      <c r="E8" s="6">
        <v>1.2200197184540356</v>
      </c>
      <c r="F8" s="7">
        <v>28.731464369592548</v>
      </c>
      <c r="G8" s="7">
        <v>37.030096583756915</v>
      </c>
      <c r="H8" s="5">
        <v>102</v>
      </c>
    </row>
    <row r="9">
      <c r="A9" s="4" t="inlineStr">
        <is>
          <t xml:space="preserve">материал не задан</t>
        </is>
      </c>
      <c r="B9" s="8">
        <v>5</v>
      </c>
      <c r="C9" s="5">
        <v>1</v>
      </c>
      <c r="D9" s="5">
        <v>1</v>
      </c>
      <c r="E9" s="6">
        <v>0.09693593091902764</v>
      </c>
      <c r="F9" s="17" t="inlineStr">
        <is>
          <t xml:space="preserve">—</t>
        </is>
      </c>
      <c r="G9" s="7">
        <v>1.4962872431440122</v>
      </c>
      <c r="H9" s="5">
        <v>2</v>
      </c>
    </row>
    <row r="10">
      <c r="A10" s="9" t="inlineStr">
        <is>
          <t xml:space="preserve">Итого</t>
        </is>
      </c>
      <c r="B10" s="9"/>
      <c r="C10" s="10">
        <f>SUM(C5:C9)</f>
        <v>36</v>
      </c>
      <c r="D10" s="10">
        <f>SUM(D5:D9)</f>
        <v>113</v>
      </c>
      <c r="E10" s="11">
        <f>SUM(E5:E9)</f>
        <v>2.4017124419394227</v>
      </c>
      <c r="F10" s="12">
        <f>SUM(F5:F9)</f>
        <v>45.618815076754544</v>
      </c>
      <c r="G10" s="12">
        <f>SUM(G5:G9)</f>
        <v>75.35462403222984</v>
      </c>
      <c r="H10" s="10">
        <f>SUM(H5:H9)</f>
        <v>222</v>
      </c>
    </row>
    <row r="12">
      <c r="A12" s="14" t="inlineStr">
        <is>
          <t xml:space="preserve">Без площади или массы: 2 поз. — итоги неполные, см. примечания на листе «Детали».</t>
        </is>
      </c>
    </row>
  </sheetData>
  <mergeCells count="2">
    <mergeCell ref="A1:H1"/>
    <mergeCell ref="A2:H2"/>
  </mergeCells>
  <pageMargins left="0.4" right="0.4" top="0.6" bottom="0.6" header="0.3" footer="0.3"/>
  <pageSetup paperSize="9" orientation="landscape" fitToWidth="1" fitToHeight="0"/>
  <headerFooter>
    <oddHeader>&amp;L&amp;"Arial,Bold"Ведомость листовых деталей&amp;R26.10.2026</oddHeader>
    <oddFooter>&amp;LInvAuto&amp;RЛист &amp;P из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>
      <pane ySplit="4" topLeftCell="A5" activePane="bottomLeft" state="frozen"/>
    </sheetView>
  </sheetViews>
  <sheetFormatPr defaultRowHeight="15"/>
  <cols>
    <col min="1" max="1" width="5" customWidth="1"/>
    <col min="2" max="2" width="18" customWidth="1"/>
    <col min="3" max="3" width="22" customWidth="1"/>
    <col min="4" max="4" width="30" customWidth="1"/>
    <col min="5" max="5" width="16" customWidth="1"/>
    <col min="6" max="6" width="10" customWidth="1"/>
    <col min="7" max="7" width="9" customWidth="1"/>
    <col min="8" max="8" width="14" customWidth="1"/>
    <col min="9" max="9" width="11" customWidth="1"/>
    <col min="10" max="10" width="11" customWidth="1"/>
    <col min="11" max="11" width="11" customWidth="1"/>
    <col min="12" max="12" width="12" customWidth="1"/>
    <col min="13" max="13" width="10" customWidth="1"/>
    <col min="14" max="14" width="30" customWidth="1"/>
  </cols>
  <sheetData>
    <row r="1" ht="24" customHeight="1">
      <c r="A1" s="1" t="inlineStr">
        <is>
          <t xml:space="preserve">Ведомость листовых деталей</t>
        </is>
      </c>
    </row>
    <row r="2">
      <c r="A2" s="2" t="inlineStr">
        <is>
          <t xml:space="preserve">Изделие: Стойка опорная АБВГ.301318.001 · изделий: 2 · дата: 26.10.2026</t>
        </is>
      </c>
    </row>
    <row r="4" ht="30" customHeight="1">
      <c r="A4" s="3" t="inlineStr">
        <is>
          <t xml:space="preserve">№</t>
        </is>
      </c>
      <c r="B4" s="3" t="inlineStr">
        <is>
          <t xml:space="preserve">Развертка</t>
        </is>
      </c>
      <c r="C4" s="3" t="inlineStr">
        <is>
          <t xml:space="preserve">Обозначение</t>
        </is>
      </c>
      <c r="D4" s="3" t="inlineStr">
        <is>
          <t xml:space="preserve">Наименование</t>
        </is>
      </c>
      <c r="E4" s="3" t="inlineStr">
        <is>
          <t xml:space="preserve">Материал</t>
        </is>
      </c>
      <c r="F4" s="3" t="inlineStr">
        <is>
          <t xml:space="preserve">Толщина, мм</t>
        </is>
      </c>
      <c r="G4" s="3" t="inlineStr">
        <is>
          <t xml:space="preserve">Кол-во, шт</t>
        </is>
      </c>
      <c r="H4" s="3" t="inlineStr">
        <is>
          <t xml:space="preserve">Габариты, мм</t>
        </is>
      </c>
      <c r="I4" s="3" t="inlineStr">
        <is>
          <t xml:space="preserve">Площадь 1 шт, м²</t>
        </is>
      </c>
      <c r="J4" s="3" t="inlineStr">
        <is>
          <t xml:space="preserve">Масса 1 шт, кг</t>
        </is>
      </c>
      <c r="K4" s="3" t="inlineStr">
        <is>
          <t xml:space="preserve">Масса всего, кг</t>
        </is>
      </c>
      <c r="L4" s="3" t="inlineStr">
        <is>
          <t xml:space="preserve">Длина реза всего, м</t>
        </is>
      </c>
      <c r="M4" s="3" t="inlineStr">
        <is>
          <t xml:space="preserve">Врезки всего</t>
        </is>
      </c>
      <c r="N4" s="3" t="inlineStr">
        <is>
          <t xml:space="preserve">Примечание</t>
        </is>
      </c>
    </row>
    <row r="5" ht="45" customHeight="1">
      <c r="A5" s="5">
        <v>1</v>
      </c>
      <c r="B5" s="4"/>
      <c r="C5" s="4" t="inlineStr">
        <is>
          <t xml:space="preserve">АБВГ.301318.003</t>
        </is>
      </c>
      <c r="D5" s="15" t="inlineStr">
        <is>
          <t xml:space="preserve">Косынка</t>
        </is>
      </c>
      <c r="E5" s="4" t="inlineStr">
        <is>
          <t xml:space="preserve">АМг3</t>
        </is>
      </c>
      <c r="F5" s="8">
        <v>1.5</v>
      </c>
      <c r="G5" s="5">
        <v>6</v>
      </c>
      <c r="H5" s="4" t="inlineStr">
        <is>
          <t xml:space="preserve">80 × 80</t>
        </is>
      </c>
      <c r="I5" s="16">
        <v>0.0060862393261084296</v>
      </c>
      <c r="J5" s="6">
        <v>0.07166546806492677</v>
      </c>
      <c r="K5" s="7">
        <v>0.4299928083895606</v>
      </c>
      <c r="L5" s="7">
        <v>2.2968715068365033</v>
      </c>
      <c r="M5" s="5">
        <v>12</v>
      </c>
      <c r="N5" s="15" t="inlineStr">
        <is>
          <t xml:space="preserve"/>
        </is>
      </c>
    </row>
    <row r="6" ht="45" customHeight="1">
      <c r="A6" s="5">
        <v>2</v>
      </c>
      <c r="B6" s="4"/>
      <c r="C6" s="4" t="inlineStr">
        <is>
          <t xml:space="preserve">АБВГ.301318.021</t>
        </is>
      </c>
      <c r="D6" s="15" t="inlineStr">
        <is>
          <t xml:space="preserve">Щиток</t>
        </is>
      </c>
      <c r="E6" s="4" t="inlineStr">
        <is>
          <t xml:space="preserve">Сталь</t>
        </is>
      </c>
      <c r="F6" s="8">
        <v>1</v>
      </c>
      <c r="G6" s="5">
        <v>2</v>
      </c>
      <c r="H6" s="4" t="inlineStr">
        <is>
          <t xml:space="preserve">150 × 90</t>
        </is>
      </c>
      <c r="I6" s="17" t="inlineStr">
        <is>
          <t xml:space="preserve">—</t>
        </is>
      </c>
      <c r="J6" s="17" t="inlineStr">
        <is>
          <t xml:space="preserve">—</t>
        </is>
      </c>
      <c r="K6" s="17" t="inlineStr">
        <is>
          <t xml:space="preserve">—</t>
        </is>
      </c>
      <c r="L6" s="17" t="inlineStr">
        <is>
          <t xml:space="preserve">—</t>
        </is>
      </c>
      <c r="M6" s="17" t="inlineStr">
        <is>
          <t xml:space="preserve">—</t>
        </is>
      </c>
      <c r="N6" s="15" t="inlineStr">
        <is>
          <t xml:space="preserve">развертка не сформирована</t>
        </is>
      </c>
    </row>
    <row r="7" ht="45" customHeight="1">
      <c r="A7" s="5">
        <v>3</v>
      </c>
      <c r="B7" s="4"/>
      <c r="C7" s="4" t="inlineStr">
        <is>
          <t xml:space="preserve">АБВГ.301318.011</t>
        </is>
      </c>
      <c r="D7" s="15" t="inlineStr">
        <is>
          <t xml:space="preserve">Ребро жёсткости длинное с очень длинным наименованием для проверки переноса</t>
        </is>
      </c>
      <c r="E7" s="4" t="inlineStr">
        <is>
          <t xml:space="preserve">Сталь</t>
        </is>
      </c>
      <c r="F7" s="8">
        <v>2</v>
      </c>
      <c r="G7" s="5">
        <v>8</v>
      </c>
      <c r="H7" s="4" t="inlineStr">
        <is>
          <t xml:space="preserve">120 × 60</t>
        </is>
      </c>
      <c r="I7" s="16">
        <v>0.0070235096209359926</v>
      </c>
      <c r="J7" s="6">
        <v>0.1102691010486951</v>
      </c>
      <c r="K7" s="7">
        <v>0.8821528083895608</v>
      </c>
      <c r="L7" s="7">
        <v>3.2568715068365033</v>
      </c>
      <c r="M7" s="5">
        <v>16</v>
      </c>
      <c r="N7" s="15" t="inlineStr">
        <is>
          <t xml:space="preserve"/>
        </is>
      </c>
    </row>
    <row r="8" ht="45" customHeight="1">
      <c r="A8" s="5">
        <v>4</v>
      </c>
      <c r="B8" s="4"/>
      <c r="C8" s="4" t="inlineStr">
        <is>
          <t xml:space="preserve">АБВГ.301318.100</t>
        </is>
      </c>
      <c r="D8" s="15" t="inlineStr">
        <is>
          <t xml:space="preserve">Пластина 1</t>
        </is>
      </c>
      <c r="E8" s="4" t="inlineStr">
        <is>
          <t xml:space="preserve">Сталь</t>
        </is>
      </c>
      <c r="F8" s="8">
        <v>2</v>
      </c>
      <c r="G8" s="5">
        <v>1</v>
      </c>
      <c r="H8" s="4" t="inlineStr">
        <is>
          <t xml:space="preserve">100 × 60</t>
        </is>
      </c>
      <c r="I8" s="16">
        <v>0.005823509620935992</v>
      </c>
      <c r="J8" s="6">
        <v>0.09142910104869509</v>
      </c>
      <c r="K8" s="7">
        <v>0.09142910104869509</v>
      </c>
      <c r="L8" s="7">
        <v>0.3671089383545628</v>
      </c>
      <c r="M8" s="5">
        <v>2</v>
      </c>
      <c r="N8" s="15" t="inlineStr">
        <is>
          <t xml:space="preserve"/>
        </is>
      </c>
    </row>
    <row r="9" ht="45" customHeight="1">
      <c r="A9" s="5">
        <v>5</v>
      </c>
      <c r="B9" s="4"/>
      <c r="C9" s="4" t="inlineStr">
        <is>
          <t xml:space="preserve">АБВГ.301318.102</t>
        </is>
      </c>
      <c r="D9" s="15" t="inlineStr">
        <is>
          <t xml:space="preserve">Пластина 3</t>
        </is>
      </c>
      <c r="E9" s="4" t="inlineStr">
        <is>
          <t xml:space="preserve">Сталь</t>
        </is>
      </c>
      <c r="F9" s="8">
        <v>2</v>
      </c>
      <c r="G9" s="5">
        <v>3</v>
      </c>
      <c r="H9" s="4" t="inlineStr">
        <is>
          <t xml:space="preserve">114 × 66</t>
        </is>
      </c>
      <c r="I9" s="16">
        <v>0.00731044664133255</v>
      </c>
      <c r="J9" s="6">
        <v>0.11477401226892106</v>
      </c>
      <c r="K9" s="7">
        <v>0.3443220368067632</v>
      </c>
      <c r="L9" s="7">
        <v>1.2354594965700576</v>
      </c>
      <c r="M9" s="5">
        <v>6</v>
      </c>
      <c r="N9" s="15" t="inlineStr">
        <is>
          <t xml:space="preserve"/>
        </is>
      </c>
    </row>
    <row r="10" ht="45" customHeight="1">
      <c r="A10" s="5">
        <v>6</v>
      </c>
      <c r="B10" s="4"/>
      <c r="C10" s="4" t="inlineStr">
        <is>
          <t xml:space="preserve">АБВГ.301318.104</t>
        </is>
      </c>
      <c r="D10" s="15" t="inlineStr">
        <is>
          <t xml:space="preserve">Пластина 5</t>
        </is>
      </c>
      <c r="E10" s="4" t="inlineStr">
        <is>
          <t xml:space="preserve">Сталь</t>
        </is>
      </c>
      <c r="F10" s="8">
        <v>2</v>
      </c>
      <c r="G10" s="5">
        <v>5</v>
      </c>
      <c r="H10" s="4" t="inlineStr">
        <is>
          <t xml:space="preserve">128 × 72</t>
        </is>
      </c>
      <c r="I10" s="16">
        <v>0.008961853854147828</v>
      </c>
      <c r="J10" s="6">
        <v>0.1407011055101209</v>
      </c>
      <c r="K10" s="7">
        <v>0.7035055275506046</v>
      </c>
      <c r="L10" s="7">
        <v>2.282653630127377</v>
      </c>
      <c r="M10" s="5">
        <v>10</v>
      </c>
      <c r="N10" s="15" t="inlineStr">
        <is>
          <t xml:space="preserve"/>
        </is>
      </c>
    </row>
    <row r="11" ht="45" customHeight="1">
      <c r="A11" s="5">
        <v>7</v>
      </c>
      <c r="B11" s="4"/>
      <c r="C11" s="4" t="inlineStr">
        <is>
          <t xml:space="preserve">АБВГ.301318.106</t>
        </is>
      </c>
      <c r="D11" s="15" t="inlineStr">
        <is>
          <t xml:space="preserve">Пластина 7</t>
        </is>
      </c>
      <c r="E11" s="4" t="inlineStr">
        <is>
          <t xml:space="preserve">Сталь</t>
        </is>
      </c>
      <c r="F11" s="8">
        <v>2</v>
      </c>
      <c r="G11" s="5">
        <v>2</v>
      </c>
      <c r="H11" s="4" t="inlineStr">
        <is>
          <t xml:space="preserve">142 × 78</t>
        </is>
      </c>
      <c r="I11" s="16">
        <v>0.010777731259381826</v>
      </c>
      <c r="J11" s="6">
        <v>0.1692103807722947</v>
      </c>
      <c r="K11" s="7">
        <v>0.3384207615445894</v>
      </c>
      <c r="L11" s="7">
        <v>1.0024832397218635</v>
      </c>
      <c r="M11" s="5">
        <v>4</v>
      </c>
      <c r="N11" s="15" t="inlineStr">
        <is>
          <t xml:space="preserve"/>
        </is>
      </c>
    </row>
    <row r="12" ht="45" customHeight="1">
      <c r="A12" s="5">
        <v>8</v>
      </c>
      <c r="B12" s="4"/>
      <c r="C12" s="4" t="inlineStr">
        <is>
          <t xml:space="preserve">АБВГ.301318.108</t>
        </is>
      </c>
      <c r="D12" s="15" t="inlineStr">
        <is>
          <t xml:space="preserve">Пластина 9</t>
        </is>
      </c>
      <c r="E12" s="4" t="inlineStr">
        <is>
          <t xml:space="preserve">Сталь</t>
        </is>
      </c>
      <c r="F12" s="8">
        <v>2</v>
      </c>
      <c r="G12" s="5">
        <v>4</v>
      </c>
      <c r="H12" s="4" t="inlineStr">
        <is>
          <t xml:space="preserve">156 × 84</t>
        </is>
      </c>
      <c r="I12" s="16">
        <v>0.012758078857034545</v>
      </c>
      <c r="J12" s="6">
        <v>0.20030183805544238</v>
      </c>
      <c r="K12" s="7">
        <v>0.8012073522217695</v>
      </c>
      <c r="L12" s="7">
        <v>2.183810054785552</v>
      </c>
      <c r="M12" s="5">
        <v>8</v>
      </c>
      <c r="N12" s="15" t="inlineStr">
        <is>
          <t xml:space="preserve"/>
        </is>
      </c>
    </row>
    <row r="13" ht="45" customHeight="1">
      <c r="A13" s="5">
        <v>9</v>
      </c>
      <c r="B13" s="4"/>
      <c r="C13" s="4" t="inlineStr">
        <is>
          <t xml:space="preserve">АБВГ.301318.110</t>
        </is>
      </c>
      <c r="D13" s="15" t="inlineStr">
        <is>
          <t xml:space="preserve">Пластина 11</t>
        </is>
      </c>
      <c r="E13" s="4" t="inlineStr">
        <is>
          <t xml:space="preserve">Сталь</t>
        </is>
      </c>
      <c r="F13" s="8">
        <v>2</v>
      </c>
      <c r="G13" s="5">
        <v>1</v>
      </c>
      <c r="H13" s="4" t="inlineStr">
        <is>
          <t xml:space="preserve">170 × 90</t>
        </is>
      </c>
      <c r="I13" s="16">
        <v>0.014902896647105982</v>
      </c>
      <c r="J13" s="6">
        <v>0.23397547735956395</v>
      </c>
      <c r="K13" s="7">
        <v>0.23397547735956395</v>
      </c>
      <c r="L13" s="7">
        <v>0.5906634075318443</v>
      </c>
      <c r="M13" s="5">
        <v>2</v>
      </c>
      <c r="N13" s="15" t="inlineStr">
        <is>
          <t xml:space="preserve"/>
        </is>
      </c>
    </row>
    <row r="14" ht="45" customHeight="1">
      <c r="A14" s="5">
        <v>10</v>
      </c>
      <c r="B14" s="4"/>
      <c r="C14" s="4" t="inlineStr">
        <is>
          <t xml:space="preserve">АБВГ.301318.112</t>
        </is>
      </c>
      <c r="D14" s="15" t="inlineStr">
        <is>
          <t xml:space="preserve">Пластина 13</t>
        </is>
      </c>
      <c r="E14" s="4" t="inlineStr">
        <is>
          <t xml:space="preserve">Сталь</t>
        </is>
      </c>
      <c r="F14" s="8">
        <v>2</v>
      </c>
      <c r="G14" s="5">
        <v>3</v>
      </c>
      <c r="H14" s="4" t="inlineStr">
        <is>
          <t xml:space="preserve">184 × 96</t>
        </is>
      </c>
      <c r="I14" s="16">
        <v>0.01721218462959614</v>
      </c>
      <c r="J14" s="6">
        <v>0.27023129868465945</v>
      </c>
      <c r="K14" s="7">
        <v>0.8106938960539783</v>
      </c>
      <c r="L14" s="7">
        <v>1.906122904101902</v>
      </c>
      <c r="M14" s="5">
        <v>6</v>
      </c>
      <c r="N14" s="15" t="inlineStr">
        <is>
          <t xml:space="preserve"/>
        </is>
      </c>
    </row>
    <row r="15" ht="45" customHeight="1">
      <c r="A15" s="5">
        <v>11</v>
      </c>
      <c r="B15" s="4"/>
      <c r="C15" s="4" t="inlineStr">
        <is>
          <t xml:space="preserve">АБВГ.301318.114</t>
        </is>
      </c>
      <c r="D15" s="15" t="inlineStr">
        <is>
          <t xml:space="preserve">Пластина 15</t>
        </is>
      </c>
      <c r="E15" s="4" t="inlineStr">
        <is>
          <t xml:space="preserve">Сталь</t>
        </is>
      </c>
      <c r="F15" s="8">
        <v>2</v>
      </c>
      <c r="G15" s="5">
        <v>5</v>
      </c>
      <c r="H15" s="4" t="inlineStr">
        <is>
          <t xml:space="preserve">198 × 102</t>
        </is>
      </c>
      <c r="I15" s="16">
        <v>0.01968594280450502</v>
      </c>
      <c r="J15" s="6">
        <v>0.30906930203072885</v>
      </c>
      <c r="K15" s="7">
        <v>1.5453465101536443</v>
      </c>
      <c r="L15" s="7">
        <v>3.4004259760137847</v>
      </c>
      <c r="M15" s="5">
        <v>10</v>
      </c>
      <c r="N15" s="15" t="inlineStr">
        <is>
          <t xml:space="preserve"/>
        </is>
      </c>
    </row>
    <row r="16" ht="45" customHeight="1">
      <c r="A16" s="5">
        <v>12</v>
      </c>
      <c r="B16" s="4"/>
      <c r="C16" s="4" t="inlineStr">
        <is>
          <t xml:space="preserve">АБВГ.301318.116</t>
        </is>
      </c>
      <c r="D16" s="15" t="inlineStr">
        <is>
          <t xml:space="preserve">Пластина 17</t>
        </is>
      </c>
      <c r="E16" s="4" t="inlineStr">
        <is>
          <t xml:space="preserve">Сталь</t>
        </is>
      </c>
      <c r="F16" s="8">
        <v>2</v>
      </c>
      <c r="G16" s="5">
        <v>2</v>
      </c>
      <c r="H16" s="4" t="inlineStr">
        <is>
          <t xml:space="preserve">212 × 108</t>
        </is>
      </c>
      <c r="I16" s="16">
        <v>0.022324171171832614</v>
      </c>
      <c r="J16" s="6">
        <v>0.3504894873977721</v>
      </c>
      <c r="K16" s="7">
        <v>0.7009789747955442</v>
      </c>
      <c r="L16" s="7">
        <v>1.4495921780764263</v>
      </c>
      <c r="M16" s="5">
        <v>4</v>
      </c>
      <c r="N16" s="15" t="inlineStr">
        <is>
          <t xml:space="preserve"/>
        </is>
      </c>
    </row>
    <row r="17" ht="45" customHeight="1">
      <c r="A17" s="5">
        <v>13</v>
      </c>
      <c r="B17" s="4"/>
      <c r="C17" s="4" t="inlineStr">
        <is>
          <t xml:space="preserve">АБВГ.301318.118</t>
        </is>
      </c>
      <c r="D17" s="15" t="inlineStr">
        <is>
          <t xml:space="preserve">Пластина 19</t>
        </is>
      </c>
      <c r="E17" s="4" t="inlineStr">
        <is>
          <t xml:space="preserve">Сталь</t>
        </is>
      </c>
      <c r="F17" s="8">
        <v>2</v>
      </c>
      <c r="G17" s="5">
        <v>4</v>
      </c>
      <c r="H17" s="4" t="inlineStr">
        <is>
          <t xml:space="preserve">226 × 114</t>
        </is>
      </c>
      <c r="I17" s="16">
        <v>0.025126869731578932</v>
      </c>
      <c r="J17" s="6">
        <v>0.3944918547857893</v>
      </c>
      <c r="K17" s="7">
        <v>1.5779674191431572</v>
      </c>
      <c r="L17" s="7">
        <v>3.078027931494678</v>
      </c>
      <c r="M17" s="5">
        <v>8</v>
      </c>
      <c r="N17" s="15" t="inlineStr">
        <is>
          <t xml:space="preserve"/>
        </is>
      </c>
    </row>
    <row r="18" ht="45" customHeight="1">
      <c r="A18" s="5">
        <v>14</v>
      </c>
      <c r="B18" s="4"/>
      <c r="C18" s="4" t="inlineStr">
        <is>
          <t xml:space="preserve">АБВГ.301318.120</t>
        </is>
      </c>
      <c r="D18" s="15" t="inlineStr">
        <is>
          <t xml:space="preserve">Пластина 21</t>
        </is>
      </c>
      <c r="E18" s="4" t="inlineStr">
        <is>
          <t xml:space="preserve">Сталь</t>
        </is>
      </c>
      <c r="F18" s="8">
        <v>2</v>
      </c>
      <c r="G18" s="5">
        <v>1</v>
      </c>
      <c r="H18" s="4" t="inlineStr">
        <is>
          <t xml:space="preserve">240 × 120</t>
        </is>
      </c>
      <c r="I18" s="16">
        <v>0.02809403848374397</v>
      </c>
      <c r="J18" s="6">
        <v>0.4410764041947804</v>
      </c>
      <c r="K18" s="7">
        <v>0.4410764041947804</v>
      </c>
      <c r="L18" s="7">
        <v>0.8142178767091258</v>
      </c>
      <c r="M18" s="5">
        <v>2</v>
      </c>
      <c r="N18" s="15" t="inlineStr">
        <is>
          <t xml:space="preserve"/>
        </is>
      </c>
    </row>
    <row r="19" ht="45" customHeight="1">
      <c r="A19" s="5">
        <v>15</v>
      </c>
      <c r="B19" s="4"/>
      <c r="C19" s="4" t="inlineStr">
        <is>
          <t xml:space="preserve">АБВГ.301318.122</t>
        </is>
      </c>
      <c r="D19" s="15" t="inlineStr">
        <is>
          <t xml:space="preserve">Пластина 23</t>
        </is>
      </c>
      <c r="E19" s="4" t="inlineStr">
        <is>
          <t xml:space="preserve">Сталь</t>
        </is>
      </c>
      <c r="F19" s="8">
        <v>2</v>
      </c>
      <c r="G19" s="5">
        <v>3</v>
      </c>
      <c r="H19" s="4" t="inlineStr">
        <is>
          <t xml:space="preserve">254 × 126</t>
        </is>
      </c>
      <c r="I19" s="16">
        <v>0.031225677428327724</v>
      </c>
      <c r="J19" s="6">
        <v>0.49024313562474536</v>
      </c>
      <c r="K19" s="7">
        <v>1.470729406874236</v>
      </c>
      <c r="L19" s="7">
        <v>2.5767863116337457</v>
      </c>
      <c r="M19" s="5">
        <v>6</v>
      </c>
      <c r="N19" s="15" t="inlineStr">
        <is>
          <t xml:space="preserve"/>
        </is>
      </c>
    </row>
    <row r="20" ht="45" customHeight="1">
      <c r="A20" s="5">
        <v>16</v>
      </c>
      <c r="B20" s="4"/>
      <c r="C20" s="4" t="inlineStr">
        <is>
          <t xml:space="preserve">АБВГ.301318.124</t>
        </is>
      </c>
      <c r="D20" s="15" t="inlineStr">
        <is>
          <t xml:space="preserve">Пластина 25</t>
        </is>
      </c>
      <c r="E20" s="4" t="inlineStr">
        <is>
          <t xml:space="preserve">Сталь</t>
        </is>
      </c>
      <c r="F20" s="8">
        <v>2</v>
      </c>
      <c r="G20" s="5">
        <v>5</v>
      </c>
      <c r="H20" s="4" t="inlineStr">
        <is>
          <t xml:space="preserve">268 × 132</t>
        </is>
      </c>
      <c r="I20" s="16">
        <v>0.0345217865653302</v>
      </c>
      <c r="J20" s="6">
        <v>0.5419920490756842</v>
      </c>
      <c r="K20" s="7">
        <v>2.7099602453784213</v>
      </c>
      <c r="L20" s="7">
        <v>4.518198321900192</v>
      </c>
      <c r="M20" s="5">
        <v>10</v>
      </c>
      <c r="N20" s="15" t="inlineStr">
        <is>
          <t xml:space="preserve"/>
        </is>
      </c>
    </row>
    <row r="21" ht="45" customHeight="1">
      <c r="A21" s="5">
        <v>17</v>
      </c>
      <c r="B21" s="4"/>
      <c r="C21" s="4" t="inlineStr">
        <is>
          <t xml:space="preserve">АБВГ.301318.126</t>
        </is>
      </c>
      <c r="D21" s="15" t="inlineStr">
        <is>
          <t xml:space="preserve">Пластина 27</t>
        </is>
      </c>
      <c r="E21" s="4" t="inlineStr">
        <is>
          <t xml:space="preserve">Сталь</t>
        </is>
      </c>
      <c r="F21" s="8">
        <v>2</v>
      </c>
      <c r="G21" s="5">
        <v>2</v>
      </c>
      <c r="H21" s="4" t="inlineStr">
        <is>
          <t xml:space="preserve">282 × 138</t>
        </is>
      </c>
      <c r="I21" s="16">
        <v>0.037982365894751395</v>
      </c>
      <c r="J21" s="6">
        <v>0.5963231445475969</v>
      </c>
      <c r="K21" s="7">
        <v>1.1926462890951939</v>
      </c>
      <c r="L21" s="7">
        <v>1.8967011164309893</v>
      </c>
      <c r="M21" s="5">
        <v>4</v>
      </c>
      <c r="N21" s="15" t="inlineStr">
        <is>
          <t xml:space="preserve"/>
        </is>
      </c>
    </row>
    <row r="22" ht="45" customHeight="1">
      <c r="A22" s="5">
        <v>18</v>
      </c>
      <c r="B22" s="4"/>
      <c r="C22" s="4" t="inlineStr">
        <is>
          <t xml:space="preserve">АБВГ.301318.128</t>
        </is>
      </c>
      <c r="D22" s="15" t="inlineStr">
        <is>
          <t xml:space="preserve">Пластина 29</t>
        </is>
      </c>
      <c r="E22" s="4" t="inlineStr">
        <is>
          <t xml:space="preserve">Сталь</t>
        </is>
      </c>
      <c r="F22" s="8">
        <v>2</v>
      </c>
      <c r="G22" s="5">
        <v>4</v>
      </c>
      <c r="H22" s="4" t="inlineStr">
        <is>
          <t xml:space="preserve">296 × 144</t>
        </is>
      </c>
      <c r="I22" s="16">
        <v>0.04160741541659131</v>
      </c>
      <c r="J22" s="6">
        <v>0.6532364220404836</v>
      </c>
      <c r="K22" s="7">
        <v>2.6129456881619344</v>
      </c>
      <c r="L22" s="7">
        <v>3.972245808203804</v>
      </c>
      <c r="M22" s="5">
        <v>8</v>
      </c>
      <c r="N22" s="15" t="inlineStr">
        <is>
          <t xml:space="preserve"/>
        </is>
      </c>
    </row>
    <row r="23" ht="45" customHeight="1">
      <c r="A23" s="5">
        <v>19</v>
      </c>
      <c r="B23" s="4"/>
      <c r="C23" s="4" t="inlineStr">
        <is>
          <t xml:space="preserve">АБВГ.301318.002</t>
        </is>
      </c>
      <c r="D23" s="15" t="inlineStr">
        <is>
          <t xml:space="preserve">Пластина опорная</t>
        </is>
      </c>
      <c r="E23" s="4" t="inlineStr">
        <is>
          <t xml:space="preserve">Сталь</t>
        </is>
      </c>
      <c r="F23" s="8">
        <v>3</v>
      </c>
      <c r="G23" s="5">
        <v>2</v>
      </c>
      <c r="H23" s="4" t="inlineStr">
        <is>
          <t xml:space="preserve">300 × 150</t>
        </is>
      </c>
      <c r="I23" s="16">
        <v>0.04389693513084995</v>
      </c>
      <c r="J23" s="6">
        <v>1.0337728223315164</v>
      </c>
      <c r="K23" s="7">
        <v>2.0675456446630327</v>
      </c>
      <c r="L23" s="7">
        <v>2.0355446917728144</v>
      </c>
      <c r="M23" s="5">
        <v>4</v>
      </c>
      <c r="N23" s="15" t="inlineStr">
        <is>
          <t xml:space="preserve"/>
        </is>
      </c>
    </row>
    <row r="24" ht="45" customHeight="1">
      <c r="A24" s="5">
        <v>20</v>
      </c>
      <c r="B24" s="4"/>
      <c r="C24" s="4" t="inlineStr">
        <is>
          <t xml:space="preserve">АБВГ.301318.010</t>
        </is>
      </c>
      <c r="D24" s="15" t="inlineStr">
        <is>
          <t xml:space="preserve">Кронштейн</t>
        </is>
      </c>
      <c r="E24" s="4" t="inlineStr">
        <is>
          <t xml:space="preserve">Сталь</t>
        </is>
      </c>
      <c r="F24" s="8">
        <v>3</v>
      </c>
      <c r="G24" s="5">
        <v>4</v>
      </c>
      <c r="H24" s="4" t="inlineStr">
        <is>
          <t xml:space="preserve">200 × 100</t>
        </is>
      </c>
      <c r="I24" s="16">
        <v>0.019509748947044422</v>
      </c>
      <c r="J24" s="6">
        <v>0.45945458770289616</v>
      </c>
      <c r="K24" s="7">
        <v>1.8378183508115846</v>
      </c>
      <c r="L24" s="7">
        <v>2.7140595890304193</v>
      </c>
      <c r="M24" s="5">
        <v>8</v>
      </c>
      <c r="N24" s="15" t="inlineStr">
        <is>
          <t xml:space="preserve"/>
        </is>
      </c>
    </row>
    <row r="25" ht="45" customHeight="1">
      <c r="A25" s="5">
        <v>21</v>
      </c>
      <c r="B25" s="4"/>
      <c r="C25" s="4" t="inlineStr">
        <is>
          <t xml:space="preserve">АБВГ.301318.101</t>
        </is>
      </c>
      <c r="D25" s="15" t="inlineStr">
        <is>
          <t xml:space="preserve">Пластина 2</t>
        </is>
      </c>
      <c r="E25" s="4" t="inlineStr">
        <is>
          <t xml:space="preserve">Сталь</t>
        </is>
      </c>
      <c r="F25" s="8">
        <v>3</v>
      </c>
      <c r="G25" s="5">
        <v>2</v>
      </c>
      <c r="H25" s="4" t="inlineStr">
        <is>
          <t xml:space="preserve">107 × 63</t>
        </is>
      </c>
      <c r="I25" s="16">
        <v>0.006546419357081931</v>
      </c>
      <c r="J25" s="6">
        <v>0.1541681758592795</v>
      </c>
      <c r="K25" s="7">
        <v>0.308336351718559</v>
      </c>
      <c r="L25" s="7">
        <v>0.778928770544582</v>
      </c>
      <c r="M25" s="5">
        <v>4</v>
      </c>
      <c r="N25" s="15" t="inlineStr">
        <is>
          <t xml:space="preserve"/>
        </is>
      </c>
    </row>
    <row r="26" ht="45" customHeight="1">
      <c r="A26" s="5">
        <v>22</v>
      </c>
      <c r="B26" s="4"/>
      <c r="C26" s="4" t="inlineStr">
        <is>
          <t xml:space="preserve">АБВГ.301318.103</t>
        </is>
      </c>
      <c r="D26" s="15" t="inlineStr">
        <is>
          <t xml:space="preserve">Пластина 4</t>
        </is>
      </c>
      <c r="E26" s="4" t="inlineStr">
        <is>
          <t xml:space="preserve">Сталь</t>
        </is>
      </c>
      <c r="F26" s="8">
        <v>3</v>
      </c>
      <c r="G26" s="5">
        <v>4</v>
      </c>
      <c r="H26" s="4" t="inlineStr">
        <is>
          <t xml:space="preserve">121 × 69</t>
        </is>
      </c>
      <c r="I26" s="16">
        <v>0.00811559147368785</v>
      </c>
      <c r="J26" s="6">
        <v>0.19112217920534888</v>
      </c>
      <c r="K26" s="7">
        <v>0.7644887168213955</v>
      </c>
      <c r="L26" s="7">
        <v>1.7367011164309893</v>
      </c>
      <c r="M26" s="5">
        <v>8</v>
      </c>
      <c r="N26" s="15" t="inlineStr">
        <is>
          <t xml:space="preserve"/>
        </is>
      </c>
    </row>
    <row r="27" ht="45" customHeight="1">
      <c r="A27" s="5">
        <v>23</v>
      </c>
      <c r="B27" s="4"/>
      <c r="C27" s="4" t="inlineStr">
        <is>
          <t xml:space="preserve">АБВГ.301318.105</t>
        </is>
      </c>
      <c r="D27" s="15" t="inlineStr">
        <is>
          <t xml:space="preserve">Пластина 6</t>
        </is>
      </c>
      <c r="E27" s="4" t="inlineStr">
        <is>
          <t xml:space="preserve">Сталь</t>
        </is>
      </c>
      <c r="F27" s="8">
        <v>3</v>
      </c>
      <c r="G27" s="5">
        <v>1</v>
      </c>
      <c r="H27" s="4" t="inlineStr">
        <is>
          <t xml:space="preserve">135 × 75</t>
        </is>
      </c>
      <c r="I27" s="16">
        <v>0.009849233782712487</v>
      </c>
      <c r="J27" s="6">
        <v>0.23194945558287913</v>
      </c>
      <c r="K27" s="7">
        <v>0.23194945558287913</v>
      </c>
      <c r="L27" s="7">
        <v>0.47888617294320357</v>
      </c>
      <c r="M27" s="5">
        <v>2</v>
      </c>
      <c r="N27" s="15" t="inlineStr">
        <is>
          <t xml:space="preserve"/>
        </is>
      </c>
    </row>
    <row r="28" ht="45" customHeight="1">
      <c r="A28" s="5">
        <v>24</v>
      </c>
      <c r="B28" s="4"/>
      <c r="C28" s="4" t="inlineStr">
        <is>
          <t xml:space="preserve">АБВГ.301318.107</t>
        </is>
      </c>
      <c r="D28" s="15" t="inlineStr">
        <is>
          <t xml:space="preserve">Пластина 8</t>
        </is>
      </c>
      <c r="E28" s="4" t="inlineStr">
        <is>
          <t xml:space="preserve">Сталь</t>
        </is>
      </c>
      <c r="F28" s="8">
        <v>3</v>
      </c>
      <c r="G28" s="5">
        <v>3</v>
      </c>
      <c r="H28" s="4" t="inlineStr">
        <is>
          <t xml:space="preserve">149 × 81</t>
        </is>
      </c>
      <c r="I28" s="16">
        <v>0.011747346284155847</v>
      </c>
      <c r="J28" s="6">
        <v>0.2766500049918702</v>
      </c>
      <c r="K28" s="7">
        <v>0.8299500149756106</v>
      </c>
      <c r="L28" s="7">
        <v>1.5707912003359796</v>
      </c>
      <c r="M28" s="5">
        <v>6</v>
      </c>
      <c r="N28" s="15" t="inlineStr">
        <is>
          <t xml:space="preserve"/>
        </is>
      </c>
    </row>
    <row r="29" ht="45" customHeight="1">
      <c r="A29" s="5">
        <v>25</v>
      </c>
      <c r="B29" s="4"/>
      <c r="C29" s="4" t="inlineStr">
        <is>
          <t xml:space="preserve">АБВГ.301318.109</t>
        </is>
      </c>
      <c r="D29" s="15" t="inlineStr">
        <is>
          <t xml:space="preserve">Пластина 10</t>
        </is>
      </c>
      <c r="E29" s="4" t="inlineStr">
        <is>
          <t xml:space="preserve">Сталь</t>
        </is>
      </c>
      <c r="F29" s="8">
        <v>3</v>
      </c>
      <c r="G29" s="5">
        <v>5</v>
      </c>
      <c r="H29" s="4" t="inlineStr">
        <is>
          <t xml:space="preserve">163 × 87</t>
        </is>
      </c>
      <c r="I29" s="16">
        <v>0.013809928978017921</v>
      </c>
      <c r="J29" s="6">
        <v>0.3252238274323221</v>
      </c>
      <c r="K29" s="7">
        <v>1.6261191371616104</v>
      </c>
      <c r="L29" s="7">
        <v>2.8415398030705807</v>
      </c>
      <c r="M29" s="5">
        <v>10</v>
      </c>
      <c r="N29" s="15" t="inlineStr">
        <is>
          <t xml:space="preserve"/>
        </is>
      </c>
    </row>
    <row r="30" ht="45" customHeight="1">
      <c r="A30" s="5">
        <v>26</v>
      </c>
      <c r="B30" s="4"/>
      <c r="C30" s="4" t="inlineStr">
        <is>
          <t xml:space="preserve">АБВГ.301318.111</t>
        </is>
      </c>
      <c r="D30" s="15" t="inlineStr">
        <is>
          <t xml:space="preserve">Пластина 12</t>
        </is>
      </c>
      <c r="E30" s="4" t="inlineStr">
        <is>
          <t xml:space="preserve">Сталь</t>
        </is>
      </c>
      <c r="F30" s="8">
        <v>3</v>
      </c>
      <c r="G30" s="5">
        <v>2</v>
      </c>
      <c r="H30" s="4" t="inlineStr">
        <is>
          <t xml:space="preserve">177 × 93</t>
        </is>
      </c>
      <c r="I30" s="16">
        <v>0.01603698186429872</v>
      </c>
      <c r="J30" s="6">
        <v>0.37767092290423493</v>
      </c>
      <c r="K30" s="7">
        <v>0.7553418458084699</v>
      </c>
      <c r="L30" s="7">
        <v>1.226037708899145</v>
      </c>
      <c r="M30" s="5">
        <v>4</v>
      </c>
      <c r="N30" s="15" t="inlineStr">
        <is>
          <t xml:space="preserve"/>
        </is>
      </c>
    </row>
    <row r="31" ht="45" customHeight="1">
      <c r="A31" s="5">
        <v>27</v>
      </c>
      <c r="B31" s="4"/>
      <c r="C31" s="4" t="inlineStr">
        <is>
          <t xml:space="preserve">АБВГ.301318.113</t>
        </is>
      </c>
      <c r="D31" s="15" t="inlineStr">
        <is>
          <t xml:space="preserve">Пластина 14</t>
        </is>
      </c>
      <c r="E31" s="4" t="inlineStr">
        <is>
          <t xml:space="preserve">Сталь</t>
        </is>
      </c>
      <c r="F31" s="8">
        <v>3</v>
      </c>
      <c r="G31" s="5">
        <v>4</v>
      </c>
      <c r="H31" s="4" t="inlineStr">
        <is>
          <t xml:space="preserve">191 × 99</t>
        </is>
      </c>
      <c r="I31" s="16">
        <v>0.018428504942998237</v>
      </c>
      <c r="J31" s="6">
        <v>0.43399129140760856</v>
      </c>
      <c r="K31" s="7">
        <v>1.7359651656304342</v>
      </c>
      <c r="L31" s="7">
        <v>2.6309189931401153</v>
      </c>
      <c r="M31" s="5">
        <v>8</v>
      </c>
      <c r="N31" s="15" t="inlineStr">
        <is>
          <t xml:space="preserve"/>
        </is>
      </c>
    </row>
    <row r="32" ht="45" customHeight="1">
      <c r="A32" s="5">
        <v>28</v>
      </c>
      <c r="B32" s="4"/>
      <c r="C32" s="4" t="inlineStr">
        <is>
          <t xml:space="preserve">АБВГ.301318.115</t>
        </is>
      </c>
      <c r="D32" s="15" t="inlineStr">
        <is>
          <t xml:space="preserve">Пластина 16</t>
        </is>
      </c>
      <c r="E32" s="4" t="inlineStr">
        <is>
          <t xml:space="preserve">Сталь</t>
        </is>
      </c>
      <c r="F32" s="8">
        <v>3</v>
      </c>
      <c r="G32" s="5">
        <v>1</v>
      </c>
      <c r="H32" s="4" t="inlineStr">
        <is>
          <t xml:space="preserve">205 × 105</t>
        </is>
      </c>
      <c r="I32" s="16">
        <v>0.020984498214116475</v>
      </c>
      <c r="J32" s="6">
        <v>0.49418493294244303</v>
      </c>
      <c r="K32" s="7">
        <v>0.49418493294244303</v>
      </c>
      <c r="L32" s="7">
        <v>0.702440642120485</v>
      </c>
      <c r="M32" s="5">
        <v>2</v>
      </c>
      <c r="N32" s="15" t="inlineStr">
        <is>
          <t xml:space="preserve"/>
        </is>
      </c>
    </row>
    <row r="33" ht="45" customHeight="1">
      <c r="A33" s="5">
        <v>29</v>
      </c>
      <c r="B33" s="4"/>
      <c r="C33" s="4" t="inlineStr">
        <is>
          <t xml:space="preserve">АБВГ.301318.117</t>
        </is>
      </c>
      <c r="D33" s="15" t="inlineStr">
        <is>
          <t xml:space="preserve">Пластина 18</t>
        </is>
      </c>
      <c r="E33" s="4" t="inlineStr">
        <is>
          <t xml:space="preserve">Сталь</t>
        </is>
      </c>
      <c r="F33" s="8">
        <v>3</v>
      </c>
      <c r="G33" s="5">
        <v>3</v>
      </c>
      <c r="H33" s="4" t="inlineStr">
        <is>
          <t xml:space="preserve">219 × 111</t>
        </is>
      </c>
      <c r="I33" s="16">
        <v>0.023704961677653433</v>
      </c>
      <c r="J33" s="6">
        <v>0.5582518475087385</v>
      </c>
      <c r="K33" s="7">
        <v>1.6747555425262153</v>
      </c>
      <c r="L33" s="7">
        <v>2.2414546078678237</v>
      </c>
      <c r="M33" s="5">
        <v>6</v>
      </c>
      <c r="N33" s="15" t="inlineStr">
        <is>
          <t xml:space="preserve"/>
        </is>
      </c>
    </row>
    <row r="34" ht="45" customHeight="1">
      <c r="A34" s="5">
        <v>30</v>
      </c>
      <c r="B34" s="4"/>
      <c r="C34" s="4" t="inlineStr">
        <is>
          <t xml:space="preserve">АБВГ.301318.119</t>
        </is>
      </c>
      <c r="D34" s="15" t="inlineStr">
        <is>
          <t xml:space="preserve">Пластина 20</t>
        </is>
      </c>
      <c r="E34" s="4" t="inlineStr">
        <is>
          <t xml:space="preserve">Сталь</t>
        </is>
      </c>
      <c r="F34" s="8">
        <v>3</v>
      </c>
      <c r="G34" s="5">
        <v>5</v>
      </c>
      <c r="H34" s="4" t="inlineStr">
        <is>
          <t xml:space="preserve">233 × 117</t>
        </is>
      </c>
      <c r="I34" s="16">
        <v>0.026589895333609108</v>
      </c>
      <c r="J34" s="6">
        <v>0.6261920351064946</v>
      </c>
      <c r="K34" s="7">
        <v>3.130960175532473</v>
      </c>
      <c r="L34" s="7">
        <v>3.959312148956988</v>
      </c>
      <c r="M34" s="5">
        <v>10</v>
      </c>
      <c r="N34" s="15" t="inlineStr">
        <is>
          <t xml:space="preserve"/>
        </is>
      </c>
    </row>
    <row r="35" ht="45" customHeight="1">
      <c r="A35" s="5">
        <v>31</v>
      </c>
      <c r="B35" s="4"/>
      <c r="C35" s="4" t="inlineStr">
        <is>
          <t xml:space="preserve">АБВГ.301318.121</t>
        </is>
      </c>
      <c r="D35" s="15" t="inlineStr">
        <is>
          <t xml:space="preserve">Пластина 22</t>
        </is>
      </c>
      <c r="E35" s="4" t="inlineStr">
        <is>
          <t xml:space="preserve">Сталь</t>
        </is>
      </c>
      <c r="F35" s="8">
        <v>3</v>
      </c>
      <c r="G35" s="5">
        <v>2</v>
      </c>
      <c r="H35" s="4" t="inlineStr">
        <is>
          <t xml:space="preserve">247 × 123</t>
        </is>
      </c>
      <c r="I35" s="16">
        <v>0.029639299181983506</v>
      </c>
      <c r="J35" s="6">
        <v>0.6980054957357116</v>
      </c>
      <c r="K35" s="7">
        <v>1.3960109914714232</v>
      </c>
      <c r="L35" s="7">
        <v>1.6731466472537078</v>
      </c>
      <c r="M35" s="5">
        <v>4</v>
      </c>
      <c r="N35" s="15" t="inlineStr">
        <is>
          <t xml:space="preserve"/>
        </is>
      </c>
    </row>
    <row r="36" ht="45" customHeight="1">
      <c r="A36" s="5">
        <v>32</v>
      </c>
      <c r="B36" s="4"/>
      <c r="C36" s="4" t="inlineStr">
        <is>
          <t xml:space="preserve">АБВГ.301318.123</t>
        </is>
      </c>
      <c r="D36" s="15" t="inlineStr">
        <is>
          <t xml:space="preserve">Пластина 24</t>
        </is>
      </c>
      <c r="E36" s="4" t="inlineStr">
        <is>
          <t xml:space="preserve">Сталь</t>
        </is>
      </c>
      <c r="F36" s="8">
        <v>3</v>
      </c>
      <c r="G36" s="5">
        <v>4</v>
      </c>
      <c r="H36" s="4" t="inlineStr">
        <is>
          <t xml:space="preserve">261 × 129</t>
        </is>
      </c>
      <c r="I36" s="16">
        <v>0.03285317322277662</v>
      </c>
      <c r="J36" s="6">
        <v>0.7736922293963896</v>
      </c>
      <c r="K36" s="7">
        <v>3.0947689175855584</v>
      </c>
      <c r="L36" s="7">
        <v>3.5251368698492405</v>
      </c>
      <c r="M36" s="5">
        <v>8</v>
      </c>
      <c r="N36" s="15" t="inlineStr">
        <is>
          <t xml:space="preserve"/>
        </is>
      </c>
    </row>
    <row r="37" ht="45" customHeight="1">
      <c r="A37" s="5">
        <v>33</v>
      </c>
      <c r="B37" s="4"/>
      <c r="C37" s="4" t="inlineStr">
        <is>
          <t xml:space="preserve">АБВГ.301318.125</t>
        </is>
      </c>
      <c r="D37" s="15" t="inlineStr">
        <is>
          <t xml:space="preserve">Пластина 26</t>
        </is>
      </c>
      <c r="E37" s="4" t="inlineStr">
        <is>
          <t xml:space="preserve">Сталь</t>
        </is>
      </c>
      <c r="F37" s="8">
        <v>3</v>
      </c>
      <c r="G37" s="5">
        <v>1</v>
      </c>
      <c r="H37" s="4" t="inlineStr">
        <is>
          <t xml:space="preserve">275 × 135</t>
        </is>
      </c>
      <c r="I37" s="16">
        <v>0.03623151745598846</v>
      </c>
      <c r="J37" s="6">
        <v>0.8532522360885283</v>
      </c>
      <c r="K37" s="7">
        <v>0.8532522360885283</v>
      </c>
      <c r="L37" s="7">
        <v>0.9259951112977665</v>
      </c>
      <c r="M37" s="5">
        <v>2</v>
      </c>
      <c r="N37" s="15" t="inlineStr">
        <is>
          <t xml:space="preserve"/>
        </is>
      </c>
    </row>
    <row r="38" ht="45" customHeight="1">
      <c r="A38" s="5">
        <v>34</v>
      </c>
      <c r="B38" s="4"/>
      <c r="C38" s="4" t="inlineStr">
        <is>
          <t xml:space="preserve">АБВГ.301318.127</t>
        </is>
      </c>
      <c r="D38" s="15" t="inlineStr">
        <is>
          <t xml:space="preserve">Пластина 28</t>
        </is>
      </c>
      <c r="E38" s="4" t="inlineStr">
        <is>
          <t xml:space="preserve">Сталь</t>
        </is>
      </c>
      <c r="F38" s="8">
        <v>3</v>
      </c>
      <c r="G38" s="5">
        <v>3</v>
      </c>
      <c r="H38" s="4" t="inlineStr">
        <is>
          <t xml:space="preserve">289 × 141</t>
        </is>
      </c>
      <c r="I38" s="16">
        <v>0.03977433188161901</v>
      </c>
      <c r="J38" s="6">
        <v>0.9366855158121279</v>
      </c>
      <c r="K38" s="7">
        <v>2.8100565474363837</v>
      </c>
      <c r="L38" s="7">
        <v>2.9121180153996686</v>
      </c>
      <c r="M38" s="5">
        <v>6</v>
      </c>
      <c r="N38" s="15" t="inlineStr">
        <is>
          <t xml:space="preserve"/>
        </is>
      </c>
    </row>
    <row r="39" ht="45" customHeight="1">
      <c r="A39" s="5">
        <v>35</v>
      </c>
      <c r="B39" s="4"/>
      <c r="C39" s="4" t="inlineStr">
        <is>
          <t xml:space="preserve">АБВГ.301318.129</t>
        </is>
      </c>
      <c r="D39" s="15" t="inlineStr">
        <is>
          <t xml:space="preserve">Пластина 30</t>
        </is>
      </c>
      <c r="E39" s="4" t="inlineStr">
        <is>
          <t xml:space="preserve">Сталь</t>
        </is>
      </c>
      <c r="F39" s="8">
        <v>3</v>
      </c>
      <c r="G39" s="5">
        <v>5</v>
      </c>
      <c r="H39" s="4" t="inlineStr">
        <is>
          <t xml:space="preserve">303 × 147</t>
        </is>
      </c>
      <c r="I39" s="16">
        <v>0.043481616499668294</v>
      </c>
      <c r="J39" s="6">
        <v>1.0239920685671884</v>
      </c>
      <c r="K39" s="7">
        <v>5.119960342835942</v>
      </c>
      <c r="L39" s="7">
        <v>5.077084494843395</v>
      </c>
      <c r="M39" s="5">
        <v>10</v>
      </c>
      <c r="N39" s="15" t="inlineStr">
        <is>
          <t xml:space="preserve"/>
        </is>
      </c>
    </row>
    <row r="40" ht="45" customHeight="1">
      <c r="A40" s="5">
        <v>36</v>
      </c>
      <c r="B40" s="4"/>
      <c r="C40" s="4" t="inlineStr">
        <is>
          <t xml:space="preserve">АБВГ.301318.020</t>
        </is>
      </c>
      <c r="D40" s="15" t="inlineStr">
        <is>
          <t xml:space="preserve">Крышка</t>
        </is>
      </c>
      <c r="E40" s="4" t="inlineStr">
        <is>
          <t xml:space="preserve">не задан</t>
        </is>
      </c>
      <c r="F40" s="8">
        <v>5</v>
      </c>
      <c r="G40" s="5">
        <v>1</v>
      </c>
      <c r="H40" s="4" t="inlineStr">
        <is>
          <t xml:space="preserve">400 × 250</t>
        </is>
      </c>
      <c r="I40" s="16">
        <v>0.09693593091902764</v>
      </c>
      <c r="J40" s="17" t="inlineStr">
        <is>
          <t xml:space="preserve">—</t>
        </is>
      </c>
      <c r="K40" s="17" t="inlineStr">
        <is>
          <t xml:space="preserve">—</t>
        </is>
      </c>
      <c r="L40" s="7">
        <v>1.4962872431440122</v>
      </c>
      <c r="M40" s="5">
        <v>2</v>
      </c>
      <c r="N40" s="15" t="inlineStr">
        <is>
          <t xml:space="preserve">нет материала толщиной 5 мм в библиотеке</t>
        </is>
      </c>
    </row>
    <row r="41">
      <c r="A41" s="9"/>
      <c r="B41" s="9"/>
      <c r="C41" s="9" t="inlineStr">
        <is>
          <t xml:space="preserve">Итого</t>
        </is>
      </c>
      <c r="D41" s="9"/>
      <c r="E41" s="9"/>
      <c r="F41" s="9"/>
      <c r="G41" s="10">
        <f>SUM(G5:G40)</f>
        <v>113</v>
      </c>
      <c r="H41" s="9"/>
      <c r="I41" s="9"/>
      <c r="J41" s="9"/>
      <c r="K41" s="12">
        <f>SUM(K5:K40)</f>
        <v>45.618815076754544</v>
      </c>
      <c r="L41" s="12">
        <f>SUM(L5:L40)</f>
        <v>75.35462403222984</v>
      </c>
      <c r="M41" s="10">
        <f>SUM(M5:M40)</f>
        <v>222</v>
      </c>
      <c r="N41" s="9"/>
    </row>
  </sheetData>
  <autoFilter ref="A4:N40"/>
  <mergeCells count="2">
    <mergeCell ref="A1:N1"/>
    <mergeCell ref="A2:N2"/>
  </mergeCells>
  <pageMargins left="0.4" right="0.4" top="0.6" bottom="0.6" header="0.3" footer="0.3"/>
  <pageSetup paperSize="9" orientation="landscape" fitToWidth="1" fitToHeight="0"/>
  <headerFooter>
    <oddHeader>&amp;L&amp;"Arial,Bold"Ведомость листовых деталей&amp;R26.10.2026</oddHeader>
    <oddFooter>&amp;LInvAuto&amp;RЛист &amp;P из &amp;N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Ведомость листовых деталей</dc:title>
  <dc:creator>InvAuto</dc:creator>
  <dcterms:created xsi:type="dcterms:W3CDTF">2026-10-26T15:32:24Z</dcterms:created>
</cp:coreProperties>
</file>